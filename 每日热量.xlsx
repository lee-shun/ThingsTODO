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<sst xmlns="http://schemas.openxmlformats.org/spreadsheetml/2006/main" count="21" uniqueCount="19">
  <si>
    <t>date</t>
  </si>
  <si>
    <t>脂肪比例</t>
  </si>
  <si>
    <t>碳水比例</t>
  </si>
  <si>
    <t>身高 cm</t>
  </si>
  <si>
    <t>体脂率（估计）</t>
  </si>
  <si>
    <t>体重 kg</t>
  </si>
  <si>
    <t>体重 lb</t>
  </si>
  <si>
    <t>BMR, 基础代谢 kcal</t>
  </si>
  <si>
    <t>运动消耗水平</t>
  </si>
  <si>
    <t>每日能量消耗</t>
  </si>
  <si>
    <t>每日热量摄入</t>
  </si>
  <si>
    <t>胚型</t>
  </si>
  <si>
    <t>碳水</t>
  </si>
  <si>
    <t>蛋白质</t>
  </si>
  <si>
    <t>脂肪</t>
  </si>
  <si>
    <t>最终碳水</t>
  </si>
  <si>
    <t>最终蛋白质</t>
  </si>
  <si>
    <t>最终脂肪</t>
  </si>
  <si>
    <t>内+中</t>
  </si>
</sst>
</file>

<file path=xl/styles.xml><?xml version="1.0" encoding="utf-8"?>
<styleSheet xmlns="http://schemas.openxmlformats.org/spreadsheetml/2006/main">
  <numFmts count="5">
    <numFmt numFmtId="176" formatCode="0.00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Microsoft YaHei UI"/>
      <charset val="134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0" fontId="3" fillId="3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9" fillId="33" borderId="3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7" fillId="11" borderId="3" applyNumberForma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13" fillId="18" borderId="6" applyNumberFormat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6" fillId="9" borderId="2" applyNumberFormat="0" applyFont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58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topLeftCell="B1" workbookViewId="0">
      <selection activeCell="R6" sqref="R6"/>
    </sheetView>
  </sheetViews>
  <sheetFormatPr defaultColWidth="12.25" defaultRowHeight="33" customHeight="1"/>
  <cols>
    <col min="1" max="1" width="12.25" style="1"/>
    <col min="2" max="3" width="8.5" style="2" customWidth="1"/>
    <col min="4" max="4" width="8.5" style="1" customWidth="1"/>
    <col min="5" max="5" width="11.75" style="1" customWidth="1"/>
    <col min="6" max="7" width="10.5" style="1" customWidth="1"/>
    <col min="8" max="8" width="22.625" style="1" customWidth="1"/>
    <col min="9" max="9" width="12.25" style="1" customWidth="1"/>
    <col min="10" max="10" width="14.25" style="1" customWidth="1"/>
    <col min="11" max="16384" width="12.25" style="1" customWidth="1"/>
  </cols>
  <sheetData>
    <row r="1" customHeight="1" spans="1:18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</row>
    <row r="2" customHeight="1" spans="1:18">
      <c r="A2" s="5">
        <v>44342</v>
      </c>
      <c r="B2" s="2">
        <v>1</v>
      </c>
      <c r="C2" s="2">
        <v>1</v>
      </c>
      <c r="D2" s="1">
        <v>180</v>
      </c>
      <c r="E2" s="1">
        <v>0.25</v>
      </c>
      <c r="F2" s="6">
        <v>103.5</v>
      </c>
      <c r="G2" s="1">
        <f>F2*2.2046</f>
        <v>228.1761</v>
      </c>
      <c r="H2" s="1">
        <f>66+(13.7*F2)+(5*D2)-6.8*24</f>
        <v>2220.75</v>
      </c>
      <c r="I2" s="1">
        <v>1.5</v>
      </c>
      <c r="J2" s="1">
        <f>I2*H2</f>
        <v>3331.125</v>
      </c>
      <c r="K2" s="1">
        <f>J2*0.8</f>
        <v>2664.9</v>
      </c>
      <c r="L2" s="1" t="s">
        <v>18</v>
      </c>
      <c r="M2" s="1">
        <f>1.25*G2</f>
        <v>285.220125</v>
      </c>
      <c r="N2" s="1">
        <f>1*(1-E2)*G2</f>
        <v>171.132075</v>
      </c>
      <c r="O2" s="1">
        <f>(K2-(M2+N2)*4)/9</f>
        <v>93.2768</v>
      </c>
      <c r="P2" s="8">
        <f>M2*C2</f>
        <v>285.220125</v>
      </c>
      <c r="Q2" s="9">
        <f>N2</f>
        <v>171.132075</v>
      </c>
      <c r="R2" s="10">
        <f>O2*B2</f>
        <v>93.2768</v>
      </c>
    </row>
    <row r="3" customHeight="1" spans="1:18">
      <c r="A3" s="5">
        <v>44343</v>
      </c>
      <c r="B3" s="2">
        <v>0.5</v>
      </c>
      <c r="C3" s="2">
        <v>1.75</v>
      </c>
      <c r="D3" s="1">
        <v>180</v>
      </c>
      <c r="E3" s="1">
        <v>0.25</v>
      </c>
      <c r="F3" s="6">
        <v>103.5</v>
      </c>
      <c r="G3" s="1">
        <f>F3*2.2046</f>
        <v>228.1761</v>
      </c>
      <c r="H3" s="1">
        <f>66+(13.7*F3)+(5*D3)-6.8*24</f>
        <v>2220.75</v>
      </c>
      <c r="I3" s="1">
        <v>1.5</v>
      </c>
      <c r="J3" s="1">
        <f>I3*H3</f>
        <v>3331.125</v>
      </c>
      <c r="K3" s="1">
        <f>J3*0.8</f>
        <v>2664.9</v>
      </c>
      <c r="L3" s="1" t="s">
        <v>18</v>
      </c>
      <c r="M3" s="1">
        <f>1.25*G3</f>
        <v>285.220125</v>
      </c>
      <c r="N3" s="1">
        <f>1*(1-E3)*G3</f>
        <v>171.132075</v>
      </c>
      <c r="O3" s="1">
        <f>(K3-(M3+N3)*4)/9</f>
        <v>93.2768</v>
      </c>
      <c r="P3" s="8">
        <f>M3*C3</f>
        <v>499.13521875</v>
      </c>
      <c r="Q3" s="9">
        <f>N3</f>
        <v>171.132075</v>
      </c>
      <c r="R3" s="10">
        <f>O3*B3</f>
        <v>46.6384</v>
      </c>
    </row>
    <row r="4" customHeight="1" spans="1:18">
      <c r="A4" s="5">
        <v>44344</v>
      </c>
      <c r="B4" s="2">
        <v>1.5</v>
      </c>
      <c r="C4" s="2">
        <v>0.25</v>
      </c>
      <c r="D4" s="1">
        <v>180</v>
      </c>
      <c r="E4" s="1">
        <v>0.25</v>
      </c>
      <c r="F4" s="6">
        <v>103.5</v>
      </c>
      <c r="G4" s="1">
        <f>F4*2.2046</f>
        <v>228.1761</v>
      </c>
      <c r="H4" s="1">
        <f>66+(13.7*F4)+(5*D4)-6.8*24</f>
        <v>2220.75</v>
      </c>
      <c r="I4" s="1">
        <v>1.5</v>
      </c>
      <c r="J4" s="1">
        <f>I4*H4</f>
        <v>3331.125</v>
      </c>
      <c r="K4" s="1">
        <f>J4*0.8</f>
        <v>2664.9</v>
      </c>
      <c r="L4" s="1" t="s">
        <v>18</v>
      </c>
      <c r="M4" s="1">
        <f>1.25*G4</f>
        <v>285.220125</v>
      </c>
      <c r="N4" s="1">
        <f>1*(1-E4)*G4</f>
        <v>171.132075</v>
      </c>
      <c r="O4" s="1">
        <f>(K4-(M4+N4)*4)/9</f>
        <v>93.2768</v>
      </c>
      <c r="P4" s="8">
        <f>M4*C4</f>
        <v>71.30503125</v>
      </c>
      <c r="Q4" s="9">
        <f>N4</f>
        <v>171.132075</v>
      </c>
      <c r="R4" s="10">
        <f>O4*B4</f>
        <v>139.9152</v>
      </c>
    </row>
    <row r="5" customHeight="1" spans="1:1">
      <c r="A5" s="5"/>
    </row>
    <row r="6" customHeight="1" spans="1:1">
      <c r="A6" s="5"/>
    </row>
    <row r="7" customHeight="1" spans="1:1">
      <c r="A7" s="5"/>
    </row>
    <row r="8" customHeight="1" spans="1:1">
      <c r="A8" s="5"/>
    </row>
    <row r="9" customHeight="1" spans="1:1">
      <c r="A9" s="5"/>
    </row>
    <row r="10" customHeight="1" spans="1:1">
      <c r="A10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ls</cp:lastModifiedBy>
  <dcterms:created xsi:type="dcterms:W3CDTF">2018-05-25T19:28:00Z</dcterms:created>
  <dcterms:modified xsi:type="dcterms:W3CDTF">2021-05-26T17:24:10Z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2052-11.1.0.9522</vt:lpwstr>
  </property>
</Properties>
</file>